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onghee/Downloads/"/>
    </mc:Choice>
  </mc:AlternateContent>
  <xr:revisionPtr revIDLastSave="0" documentId="13_ncr:1_{A6E00807-7342-A348-92B1-16668078D7B1}" xr6:coauthVersionLast="47" xr6:coauthVersionMax="47" xr10:uidLastSave="{00000000-0000-0000-0000-000000000000}"/>
  <bookViews>
    <workbookView xWindow="1420" yWindow="780" windowWidth="25380" windowHeight="19860" xr2:uid="{00000000-000D-0000-FFFF-FFFF00000000}"/>
  </bookViews>
  <sheets>
    <sheet name="Weights" sheetId="1" r:id="rId1"/>
    <sheet name="Input" sheetId="2" r:id="rId2"/>
    <sheet name="Scor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I14" i="2"/>
  <c r="H14" i="2"/>
  <c r="G14" i="2"/>
  <c r="F14" i="2"/>
  <c r="E14" i="2"/>
  <c r="D14" i="2"/>
  <c r="J13" i="2"/>
  <c r="I13" i="2"/>
  <c r="H13" i="2"/>
  <c r="G13" i="2"/>
  <c r="F13" i="2"/>
  <c r="E13" i="2"/>
  <c r="D13" i="2"/>
  <c r="J12" i="2"/>
  <c r="I12" i="2"/>
  <c r="H12" i="2"/>
  <c r="G12" i="2"/>
  <c r="F12" i="2"/>
  <c r="E12" i="2"/>
  <c r="D12" i="2"/>
  <c r="J11" i="2"/>
  <c r="I11" i="2"/>
  <c r="H11" i="2"/>
  <c r="G11" i="2"/>
  <c r="F11" i="2"/>
  <c r="E11" i="2"/>
  <c r="D11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J7" i="2"/>
  <c r="I7" i="2"/>
  <c r="H7" i="2"/>
  <c r="G7" i="2"/>
  <c r="F7" i="2"/>
  <c r="E7" i="2"/>
  <c r="D7" i="2"/>
  <c r="J6" i="2"/>
  <c r="I6" i="2"/>
  <c r="H6" i="2"/>
  <c r="G6" i="2"/>
  <c r="F6" i="2"/>
  <c r="E6" i="2"/>
  <c r="D6" i="2"/>
  <c r="J5" i="2"/>
  <c r="I5" i="2"/>
  <c r="H5" i="2"/>
  <c r="G5" i="2"/>
  <c r="F5" i="2"/>
  <c r="E5" i="2"/>
  <c r="D5" i="2"/>
  <c r="J4" i="2"/>
  <c r="I4" i="2"/>
  <c r="H4" i="2"/>
  <c r="G4" i="2"/>
  <c r="F4" i="2"/>
  <c r="E4" i="2"/>
  <c r="D4" i="2"/>
  <c r="J3" i="2"/>
  <c r="J16" i="2" s="1"/>
  <c r="J17" i="2" s="1"/>
  <c r="I3" i="2"/>
  <c r="I16" i="2" s="1"/>
  <c r="I17" i="2" s="1"/>
  <c r="H3" i="2"/>
  <c r="H16" i="2" s="1"/>
  <c r="H17" i="2" s="1"/>
  <c r="G3" i="2"/>
  <c r="G16" i="2" s="1"/>
  <c r="G17" i="2" s="1"/>
  <c r="F3" i="2"/>
  <c r="F16" i="2" s="1"/>
  <c r="F17" i="2" s="1"/>
  <c r="E3" i="2"/>
  <c r="E16" i="2" s="1"/>
  <c r="E17" i="2" s="1"/>
  <c r="D3" i="2"/>
</calcChain>
</file>

<file path=xl/sharedStrings.xml><?xml version="1.0" encoding="utf-8"?>
<sst xmlns="http://schemas.openxmlformats.org/spreadsheetml/2006/main" count="275" uniqueCount="165">
  <si>
    <t>Question_ID</t>
  </si>
  <si>
    <t>Key</t>
  </si>
  <si>
    <t>Option_Code</t>
  </si>
  <si>
    <t>Option_Text</t>
  </si>
  <si>
    <t>Question_Text</t>
  </si>
  <si>
    <t>E_w</t>
  </si>
  <si>
    <t>P_w</t>
  </si>
  <si>
    <t>T_w</t>
  </si>
  <si>
    <t>S_w</t>
  </si>
  <si>
    <t>X_w</t>
  </si>
  <si>
    <t>B_w</t>
  </si>
  <si>
    <t>Notes</t>
  </si>
  <si>
    <t>Q1</t>
  </si>
  <si>
    <t>Q1|A</t>
  </si>
  <si>
    <t>A</t>
  </si>
  <si>
    <t>이번엔 회복/휴식이 1순위다!</t>
  </si>
  <si>
    <t>내일 출국! 이번 여행의 핵심 모드는?</t>
  </si>
  <si>
    <t>휴식/저자극</t>
  </si>
  <si>
    <t>Q1|B</t>
  </si>
  <si>
    <t>B</t>
  </si>
  <si>
    <t>분 단위로 꽉 채우는 효율 여행, 체력 갈아 넣는다!</t>
  </si>
  <si>
    <t>하드코어/효율</t>
  </si>
  <si>
    <t>Q1|C</t>
  </si>
  <si>
    <t>C</t>
  </si>
  <si>
    <t>사람/추억/에너지가 핵심이지!</t>
  </si>
  <si>
    <t>소셜/추억</t>
  </si>
  <si>
    <t>Q1|D</t>
  </si>
  <si>
    <t>D</t>
  </si>
  <si>
    <t>나는 영감, 전시, 새로운 관점을 얻고 싶어!</t>
  </si>
  <si>
    <t>문화/영감</t>
  </si>
  <si>
    <t>Q2</t>
  </si>
  <si>
    <t>Q2|A</t>
  </si>
  <si>
    <t>다른 사람에게 모든 것을 맡기고 그 계획을 따른다</t>
  </si>
  <si>
    <t>여행 계획을 세울때 나는 어떤 스타일?</t>
  </si>
  <si>
    <t>수동/의존</t>
  </si>
  <si>
    <t>Q2|B</t>
  </si>
  <si>
    <t>여행 후기, 추천 맛집 등을 찾아 최고의 계획을 세운다</t>
  </si>
  <si>
    <t>계획/레퍼런스</t>
  </si>
  <si>
    <t>Q2|C</t>
  </si>
  <si>
    <t>장소만 정하고 나머지는 즉흥적으로 결정한다</t>
  </si>
  <si>
    <t>즉흥/유연</t>
  </si>
  <si>
    <t>Q3</t>
  </si>
  <si>
    <t>Q3|A</t>
  </si>
  <si>
    <t>남들이 다 가는덴 이유가 있겠지.. 기다린다. 유행을 따라가보자!</t>
  </si>
  <si>
    <t>틱톡 바이럴 카페 2시간 웨이팅이면?</t>
  </si>
  <si>
    <t>트렌드/대기 감수</t>
  </si>
  <si>
    <t>Q3|B</t>
  </si>
  <si>
    <t>장난해? 웨이팅 없는 로컬 카페를 발굴할래</t>
  </si>
  <si>
    <t>로컬/발굴</t>
  </si>
  <si>
    <t>Q3|C</t>
  </si>
  <si>
    <t>우리의 목적은 인증샷! 입구에서 사진만 찍고 쿨하게 딴 데 가자</t>
  </si>
  <si>
    <t>콘텐츠/효율</t>
  </si>
  <si>
    <t>Q4</t>
  </si>
  <si>
    <t>Q4|A</t>
  </si>
  <si>
    <t>어디에 사람이 많나? 음악/대화/에너지 섞이는 분위기가 좋아</t>
  </si>
  <si>
    <t>밤이 되니까 거리가 북적북적. 어디로 갈까?</t>
  </si>
  <si>
    <t>야간/소셜</t>
  </si>
  <si>
    <t>Q4|B</t>
  </si>
  <si>
    <t>호텔로 돌아가서 휴식을 취할래</t>
  </si>
  <si>
    <t>회복/숙소</t>
  </si>
  <si>
    <t>Q4|C</t>
  </si>
  <si>
    <t>살짝 벗어난 골목 카페로..</t>
  </si>
  <si>
    <t>조용/탐색</t>
  </si>
  <si>
    <t>Q5</t>
  </si>
  <si>
    <t>Q5|A</t>
  </si>
  <si>
    <t>왔던 길로 돌아가는 헨젤과 그레텔</t>
  </si>
  <si>
    <t>여행지에서 길을 잃었을때</t>
  </si>
  <si>
    <t>안정/복구</t>
  </si>
  <si>
    <t>Q5|B</t>
  </si>
  <si>
    <t>자꾸 걸어 나가면 길이 있겠지. 지구는 둥그니까..</t>
  </si>
  <si>
    <t>탐험/리스크</t>
  </si>
  <si>
    <t>Q6</t>
  </si>
  <si>
    <t>Q6|A</t>
  </si>
  <si>
    <t>소리/사람 많은 활기 있는 카페나 마켓</t>
  </si>
  <si>
    <t>여행지에서 잠시 쉬고 싶을때, 어디가 딱 좋아?</t>
  </si>
  <si>
    <t>활기/마켓</t>
  </si>
  <si>
    <t>Q6|B</t>
  </si>
  <si>
    <t>북적이는 곳은 NO! 조용하고 코지한 분위기로 갈래요</t>
  </si>
  <si>
    <t>저자극/코지</t>
  </si>
  <si>
    <t>Q7</t>
  </si>
  <si>
    <t>Q7|A</t>
  </si>
  <si>
    <t>그냥 패스! 배보다 귀찮음이 이긴다.</t>
  </si>
  <si>
    <t>여행의 마지막! 마지막 끼니는 뭐로 마무리할까?</t>
  </si>
  <si>
    <t>저관여/절약</t>
  </si>
  <si>
    <t>Q7|B</t>
  </si>
  <si>
    <t>그냥 맥도날드 가서 먹을까..?</t>
  </si>
  <si>
    <t>안전/가성비</t>
  </si>
  <si>
    <t>Q7|C</t>
  </si>
  <si>
    <t>마지막 한 숟갈까지 현지의 맛으로 채우고 간다!</t>
  </si>
  <si>
    <t>미식/탐험</t>
  </si>
  <si>
    <t>Q8</t>
  </si>
  <si>
    <t>Q8|A</t>
  </si>
  <si>
    <t>당장 주차해!! 여기서 놀자</t>
  </si>
  <si>
    <t>다음 일정 이동 중 너무 멋진 장소 발견!</t>
  </si>
  <si>
    <t>즉흥/체험</t>
  </si>
  <si>
    <t>Q8|B</t>
  </si>
  <si>
    <t>나중에 꼭 와야지 지도에 저장</t>
  </si>
  <si>
    <t>기록/계획</t>
  </si>
  <si>
    <t>Q8|C</t>
  </si>
  <si>
    <t>남은 시간 중에 다시 올수 있나? 일정을 정리</t>
  </si>
  <si>
    <t>재설계/최적화</t>
  </si>
  <si>
    <t>Q9</t>
  </si>
  <si>
    <t>Q9|A</t>
  </si>
  <si>
    <t>지하철 한 정거장도 무조건 택시 타자는 사람</t>
  </si>
  <si>
    <t>내가 생각하는 여행 빌런은?</t>
  </si>
  <si>
    <t>이동비/가성비</t>
  </si>
  <si>
    <t>Q9|B</t>
  </si>
  <si>
    <t>앞만 보고 걷고, 숨 넘어가도 계속 ‘빨리빨리’를 외치는 타입</t>
  </si>
  <si>
    <t>느긋/페이스</t>
  </si>
  <si>
    <t>Q9|C</t>
  </si>
  <si>
    <t>시간 계산 안해서 항상 지각하고 우왕좌왕 하는 사람</t>
  </si>
  <si>
    <t>계획/정시</t>
  </si>
  <si>
    <t>Q10</t>
  </si>
  <si>
    <t>Q10|A</t>
  </si>
  <si>
    <t>좋네. 실내에서 천천히 둘러보는거 딱 좋다</t>
  </si>
  <si>
    <t>갑자기 비가 온다/비오는날 일정이 비면 나는…</t>
  </si>
  <si>
    <t>실내/슬로우</t>
  </si>
  <si>
    <t>Q10|B</t>
  </si>
  <si>
    <t>비 와도 상관없어. 그냥 돌아다니면 되지!</t>
  </si>
  <si>
    <t>강행/유연</t>
  </si>
  <si>
    <t>Q10|C</t>
  </si>
  <si>
    <t>숙소에서 쉬면서 숙소 뽕 뽑자!</t>
  </si>
  <si>
    <t>휴식/숙소</t>
  </si>
  <si>
    <t>Q11</t>
  </si>
  <si>
    <t>Q11|A</t>
  </si>
  <si>
    <t>좋아, 이런 깜짝 조합 재밌지!!</t>
  </si>
  <si>
    <t>전통주 랜덤 페어링 - 어때요?</t>
  </si>
  <si>
    <t>실험/도전</t>
  </si>
  <si>
    <t>Q11|B</t>
  </si>
  <si>
    <t>한두가지 정도만 가볍게 시도해볼게요</t>
  </si>
  <si>
    <t>부분 개방</t>
  </si>
  <si>
    <t>Q11|C</t>
  </si>
  <si>
    <t>실패하면 안돼! 익숙한 맛으로 할게요</t>
  </si>
  <si>
    <t>안정/보수</t>
  </si>
  <si>
    <t>Q12</t>
  </si>
  <si>
    <t>Q12|A</t>
  </si>
  <si>
    <t>내 돈 가져가! 캐리어 하나 더 필요할지도 몰라</t>
  </si>
  <si>
    <t>K-뷰티 스토어에서 내 카드는?</t>
  </si>
  <si>
    <t>소비/수집</t>
  </si>
  <si>
    <t>Q12|B</t>
  </si>
  <si>
    <t>그냥 구경만! 이거 나중에 아마존에서 더 싸게 살 수 있을걸?</t>
  </si>
  <si>
    <t>비교/절약</t>
  </si>
  <si>
    <t>Q12|C</t>
  </si>
  <si>
    <t>잠깐, 이게 50달러? 그 돈이면 치킨이 세마리!</t>
  </si>
  <si>
    <t>강한 가성비</t>
  </si>
  <si>
    <t>Question</t>
  </si>
  <si>
    <t>선택(옵션코드)</t>
  </si>
  <si>
    <t>선택지 텍스트</t>
  </si>
  <si>
    <t>E</t>
  </si>
  <si>
    <t>P</t>
  </si>
  <si>
    <t>T</t>
  </si>
  <si>
    <t>S</t>
  </si>
  <si>
    <t>X</t>
  </si>
  <si>
    <t>RAW_SUM</t>
  </si>
  <si>
    <t>NORM(-3~3)</t>
  </si>
  <si>
    <t>Axis</t>
  </si>
  <si>
    <t>max_abs</t>
  </si>
  <si>
    <t>설명</t>
  </si>
  <si>
    <t>여행 강도/활동량 선호 (↑ 빡세게, ↓ 회복/느긋)</t>
  </si>
  <si>
    <t>계획형 정도 (↑ 계획/예약/최적화, ↓ 즉흥/남에게 맡김)</t>
  </si>
  <si>
    <t>트렌드 성향 (↑ 바이럴/핫플, ↓ 로컬/비바이럴)</t>
  </si>
  <si>
    <t>사람/자극 선호 (↑ 북적/에너지, ↓ 조용/코지)</t>
  </si>
  <si>
    <t>탐험/리스크 감수 (↑ 즉흥/발견/실험, ↓ 안정/복구)</t>
  </si>
  <si>
    <t>예산/소비 성향 (↑ 가성비/절약, ↓ 소비/플렉스)</t>
  </si>
  <si>
    <t>C열에서 각 질문의 옵션코드(A/B/C/...)를 선택하면, 축 점수(E,P,T,S,X,B)가 자동 계산됩니다.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</si>
</sst>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1"/>
      <color rgb="FF1F4E79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workbookViewId="0">
      <pane ySplit="1" topLeftCell="A2" activePane="bottomLeft" state="frozen"/>
      <selection pane="bottomLeft" activeCell="N5" sqref="N5"/>
    </sheetView>
  </sheetViews>
  <sheetFormatPr baseColWidth="10" defaultColWidth="8.83203125" defaultRowHeight="17"/>
  <cols>
    <col min="1" max="2" width="10" customWidth="1"/>
    <col min="3" max="3" width="11" customWidth="1"/>
    <col min="4" max="4" width="55" customWidth="1"/>
    <col min="5" max="5" width="45" customWidth="1"/>
    <col min="6" max="11" width="5" customWidth="1"/>
    <col min="12" max="12" width="18" customWidth="1"/>
  </cols>
  <sheetData>
    <row r="1" spans="1:12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-2</v>
      </c>
      <c r="G2" s="2">
        <v>0</v>
      </c>
      <c r="H2" s="2">
        <v>0</v>
      </c>
      <c r="I2" s="2">
        <v>-1</v>
      </c>
      <c r="J2" s="2">
        <v>-1</v>
      </c>
      <c r="K2" s="2">
        <v>0</v>
      </c>
      <c r="L2" s="2" t="s">
        <v>17</v>
      </c>
    </row>
    <row r="3" spans="1:12" ht="18">
      <c r="A3" s="2" t="s">
        <v>12</v>
      </c>
      <c r="B3" s="2" t="s">
        <v>18</v>
      </c>
      <c r="C3" s="2" t="s">
        <v>19</v>
      </c>
      <c r="D3" s="2" t="s">
        <v>20</v>
      </c>
      <c r="E3" s="2" t="s">
        <v>16</v>
      </c>
      <c r="F3" s="2">
        <v>2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 t="s">
        <v>21</v>
      </c>
    </row>
    <row r="4" spans="1:12" ht="18">
      <c r="A4" s="2" t="s">
        <v>12</v>
      </c>
      <c r="B4" s="2" t="s">
        <v>22</v>
      </c>
      <c r="C4" s="2" t="s">
        <v>23</v>
      </c>
      <c r="D4" s="2" t="s">
        <v>24</v>
      </c>
      <c r="E4" s="2" t="s">
        <v>16</v>
      </c>
      <c r="F4" s="2">
        <v>1</v>
      </c>
      <c r="G4" s="2">
        <v>0</v>
      </c>
      <c r="H4" s="2">
        <v>0</v>
      </c>
      <c r="I4" s="2">
        <v>2</v>
      </c>
      <c r="J4" s="2">
        <v>0</v>
      </c>
      <c r="K4" s="2">
        <v>0</v>
      </c>
      <c r="L4" s="2" t="s">
        <v>25</v>
      </c>
    </row>
    <row r="5" spans="1:12" ht="18">
      <c r="A5" s="2" t="s">
        <v>12</v>
      </c>
      <c r="B5" s="2" t="s">
        <v>26</v>
      </c>
      <c r="C5" s="2" t="s">
        <v>27</v>
      </c>
      <c r="D5" s="2" t="s">
        <v>28</v>
      </c>
      <c r="E5" s="2" t="s">
        <v>16</v>
      </c>
      <c r="F5" s="2">
        <v>0</v>
      </c>
      <c r="G5" s="2">
        <v>1</v>
      </c>
      <c r="H5" s="2">
        <v>0</v>
      </c>
      <c r="I5" s="2">
        <v>-1</v>
      </c>
      <c r="J5" s="2">
        <v>1</v>
      </c>
      <c r="K5" s="2">
        <v>0</v>
      </c>
      <c r="L5" s="2" t="s">
        <v>29</v>
      </c>
    </row>
    <row r="6" spans="1:12" ht="18">
      <c r="A6" s="2" t="s">
        <v>30</v>
      </c>
      <c r="B6" s="2" t="s">
        <v>31</v>
      </c>
      <c r="C6" s="2" t="s">
        <v>14</v>
      </c>
      <c r="D6" s="2" t="s">
        <v>32</v>
      </c>
      <c r="E6" s="2" t="s">
        <v>33</v>
      </c>
      <c r="F6" s="2">
        <v>0</v>
      </c>
      <c r="G6" s="2">
        <v>-2</v>
      </c>
      <c r="H6" s="2">
        <v>0</v>
      </c>
      <c r="I6" s="2">
        <v>0</v>
      </c>
      <c r="J6" s="2">
        <v>-1</v>
      </c>
      <c r="K6" s="2">
        <v>0</v>
      </c>
      <c r="L6" s="2" t="s">
        <v>34</v>
      </c>
    </row>
    <row r="7" spans="1:12" ht="18">
      <c r="A7" s="2" t="s">
        <v>30</v>
      </c>
      <c r="B7" s="2" t="s">
        <v>35</v>
      </c>
      <c r="C7" s="2" t="s">
        <v>19</v>
      </c>
      <c r="D7" s="2" t="s">
        <v>36</v>
      </c>
      <c r="E7" s="2" t="s">
        <v>33</v>
      </c>
      <c r="F7" s="2">
        <v>0</v>
      </c>
      <c r="G7" s="2">
        <v>2</v>
      </c>
      <c r="H7" s="2">
        <v>1</v>
      </c>
      <c r="I7" s="2">
        <v>0</v>
      </c>
      <c r="J7" s="2">
        <v>-1</v>
      </c>
      <c r="K7" s="2">
        <v>0</v>
      </c>
      <c r="L7" s="2" t="s">
        <v>37</v>
      </c>
    </row>
    <row r="8" spans="1:12" ht="18">
      <c r="A8" s="2" t="s">
        <v>30</v>
      </c>
      <c r="B8" s="2" t="s">
        <v>38</v>
      </c>
      <c r="C8" s="2" t="s">
        <v>23</v>
      </c>
      <c r="D8" s="2" t="s">
        <v>39</v>
      </c>
      <c r="E8" s="2" t="s">
        <v>33</v>
      </c>
      <c r="F8" s="2">
        <v>0</v>
      </c>
      <c r="G8" s="2">
        <v>-2</v>
      </c>
      <c r="H8" s="2">
        <v>0</v>
      </c>
      <c r="I8" s="2">
        <v>0</v>
      </c>
      <c r="J8" s="2">
        <v>2</v>
      </c>
      <c r="K8" s="2">
        <v>0</v>
      </c>
      <c r="L8" s="2" t="s">
        <v>40</v>
      </c>
    </row>
    <row r="9" spans="1:12" ht="18">
      <c r="A9" s="2" t="s">
        <v>41</v>
      </c>
      <c r="B9" s="2" t="s">
        <v>42</v>
      </c>
      <c r="C9" s="2" t="s">
        <v>14</v>
      </c>
      <c r="D9" s="2" t="s">
        <v>43</v>
      </c>
      <c r="E9" s="2" t="s">
        <v>44</v>
      </c>
      <c r="F9" s="2">
        <v>0</v>
      </c>
      <c r="G9" s="2">
        <v>1</v>
      </c>
      <c r="H9" s="2">
        <v>2</v>
      </c>
      <c r="I9" s="2">
        <v>1</v>
      </c>
      <c r="J9" s="2">
        <v>0</v>
      </c>
      <c r="K9" s="2">
        <v>0</v>
      </c>
      <c r="L9" s="2" t="s">
        <v>45</v>
      </c>
    </row>
    <row r="10" spans="1:12" ht="18">
      <c r="A10" s="2" t="s">
        <v>41</v>
      </c>
      <c r="B10" s="2" t="s">
        <v>46</v>
      </c>
      <c r="C10" s="2" t="s">
        <v>19</v>
      </c>
      <c r="D10" s="2" t="s">
        <v>47</v>
      </c>
      <c r="E10" s="2" t="s">
        <v>44</v>
      </c>
      <c r="F10" s="2">
        <v>0</v>
      </c>
      <c r="G10" s="2">
        <v>0</v>
      </c>
      <c r="H10" s="2">
        <v>-2</v>
      </c>
      <c r="I10" s="2">
        <v>0</v>
      </c>
      <c r="J10" s="2">
        <v>1</v>
      </c>
      <c r="K10" s="2">
        <v>0</v>
      </c>
      <c r="L10" s="2" t="s">
        <v>48</v>
      </c>
    </row>
    <row r="11" spans="1:12" ht="18">
      <c r="A11" s="2" t="s">
        <v>41</v>
      </c>
      <c r="B11" s="2" t="s">
        <v>49</v>
      </c>
      <c r="C11" s="2" t="s">
        <v>23</v>
      </c>
      <c r="D11" s="2" t="s">
        <v>50</v>
      </c>
      <c r="E11" s="2" t="s">
        <v>44</v>
      </c>
      <c r="F11" s="2">
        <v>0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 t="s">
        <v>51</v>
      </c>
    </row>
    <row r="12" spans="1:12" ht="18">
      <c r="A12" s="2" t="s">
        <v>52</v>
      </c>
      <c r="B12" s="2" t="s">
        <v>53</v>
      </c>
      <c r="C12" s="2" t="s">
        <v>14</v>
      </c>
      <c r="D12" s="2" t="s">
        <v>54</v>
      </c>
      <c r="E12" s="2" t="s">
        <v>55</v>
      </c>
      <c r="F12" s="2">
        <v>1</v>
      </c>
      <c r="G12" s="2">
        <v>0</v>
      </c>
      <c r="H12" s="2">
        <v>0</v>
      </c>
      <c r="I12" s="2">
        <v>2</v>
      </c>
      <c r="J12" s="2">
        <v>0</v>
      </c>
      <c r="K12" s="2">
        <v>0</v>
      </c>
      <c r="L12" s="2" t="s">
        <v>56</v>
      </c>
    </row>
    <row r="13" spans="1:12" ht="18">
      <c r="A13" s="2" t="s">
        <v>52</v>
      </c>
      <c r="B13" s="2" t="s">
        <v>57</v>
      </c>
      <c r="C13" s="2" t="s">
        <v>19</v>
      </c>
      <c r="D13" s="2" t="s">
        <v>58</v>
      </c>
      <c r="E13" s="2" t="s">
        <v>55</v>
      </c>
      <c r="F13" s="2">
        <v>-2</v>
      </c>
      <c r="G13" s="2">
        <v>0</v>
      </c>
      <c r="H13" s="2">
        <v>0</v>
      </c>
      <c r="I13" s="2">
        <v>-1</v>
      </c>
      <c r="J13" s="2">
        <v>0</v>
      </c>
      <c r="K13" s="2">
        <v>0</v>
      </c>
      <c r="L13" s="2" t="s">
        <v>59</v>
      </c>
    </row>
    <row r="14" spans="1:12" ht="18">
      <c r="A14" s="2" t="s">
        <v>52</v>
      </c>
      <c r="B14" s="2" t="s">
        <v>60</v>
      </c>
      <c r="C14" s="2" t="s">
        <v>23</v>
      </c>
      <c r="D14" s="2" t="s">
        <v>61</v>
      </c>
      <c r="E14" s="2" t="s">
        <v>55</v>
      </c>
      <c r="F14" s="2">
        <v>0</v>
      </c>
      <c r="G14" s="2">
        <v>0</v>
      </c>
      <c r="H14" s="2">
        <v>0</v>
      </c>
      <c r="I14" s="2">
        <v>-1</v>
      </c>
      <c r="J14" s="2">
        <v>1</v>
      </c>
      <c r="K14" s="2">
        <v>0</v>
      </c>
      <c r="L14" s="2" t="s">
        <v>62</v>
      </c>
    </row>
    <row r="15" spans="1:12" ht="18">
      <c r="A15" s="2" t="s">
        <v>63</v>
      </c>
      <c r="B15" s="2" t="s">
        <v>64</v>
      </c>
      <c r="C15" s="2" t="s">
        <v>14</v>
      </c>
      <c r="D15" s="2" t="s">
        <v>65</v>
      </c>
      <c r="E15" s="2" t="s">
        <v>66</v>
      </c>
      <c r="F15" s="2">
        <v>0</v>
      </c>
      <c r="G15" s="2">
        <v>1</v>
      </c>
      <c r="H15" s="2">
        <v>0</v>
      </c>
      <c r="I15" s="2">
        <v>0</v>
      </c>
      <c r="J15" s="2">
        <v>-2</v>
      </c>
      <c r="K15" s="2">
        <v>0</v>
      </c>
      <c r="L15" s="2" t="s">
        <v>67</v>
      </c>
    </row>
    <row r="16" spans="1:12" ht="18">
      <c r="A16" s="2" t="s">
        <v>63</v>
      </c>
      <c r="B16" s="2" t="s">
        <v>68</v>
      </c>
      <c r="C16" s="2" t="s">
        <v>19</v>
      </c>
      <c r="D16" s="2" t="s">
        <v>69</v>
      </c>
      <c r="E16" s="2" t="s">
        <v>66</v>
      </c>
      <c r="F16" s="2">
        <v>1</v>
      </c>
      <c r="G16" s="2">
        <v>-1</v>
      </c>
      <c r="H16" s="2">
        <v>0</v>
      </c>
      <c r="I16" s="2">
        <v>0</v>
      </c>
      <c r="J16" s="2">
        <v>2</v>
      </c>
      <c r="K16" s="2">
        <v>0</v>
      </c>
      <c r="L16" s="2" t="s">
        <v>70</v>
      </c>
    </row>
    <row r="17" spans="1:12" ht="18">
      <c r="A17" s="2" t="s">
        <v>71</v>
      </c>
      <c r="B17" s="2" t="s">
        <v>72</v>
      </c>
      <c r="C17" s="2" t="s">
        <v>14</v>
      </c>
      <c r="D17" s="2" t="s">
        <v>73</v>
      </c>
      <c r="E17" s="2" t="s">
        <v>74</v>
      </c>
      <c r="F17" s="2">
        <v>1</v>
      </c>
      <c r="G17" s="2">
        <v>0</v>
      </c>
      <c r="H17" s="2">
        <v>1</v>
      </c>
      <c r="I17" s="2">
        <v>2</v>
      </c>
      <c r="J17" s="2">
        <v>0</v>
      </c>
      <c r="K17" s="2">
        <v>0</v>
      </c>
      <c r="L17" s="2" t="s">
        <v>75</v>
      </c>
    </row>
    <row r="18" spans="1:12" ht="18">
      <c r="A18" s="2" t="s">
        <v>71</v>
      </c>
      <c r="B18" s="2" t="s">
        <v>76</v>
      </c>
      <c r="C18" s="2" t="s">
        <v>19</v>
      </c>
      <c r="D18" s="2" t="s">
        <v>77</v>
      </c>
      <c r="E18" s="2" t="s">
        <v>74</v>
      </c>
      <c r="F18" s="2">
        <v>-1</v>
      </c>
      <c r="G18" s="2">
        <v>0</v>
      </c>
      <c r="H18" s="2">
        <v>0</v>
      </c>
      <c r="I18" s="2">
        <v>-2</v>
      </c>
      <c r="J18" s="2">
        <v>0</v>
      </c>
      <c r="K18" s="2">
        <v>0</v>
      </c>
      <c r="L18" s="2" t="s">
        <v>78</v>
      </c>
    </row>
    <row r="19" spans="1:12" ht="18">
      <c r="A19" s="2" t="s">
        <v>79</v>
      </c>
      <c r="B19" s="2" t="s">
        <v>80</v>
      </c>
      <c r="C19" s="2" t="s">
        <v>14</v>
      </c>
      <c r="D19" s="2" t="s">
        <v>81</v>
      </c>
      <c r="E19" s="2" t="s">
        <v>82</v>
      </c>
      <c r="F19" s="2">
        <v>-1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 t="s">
        <v>83</v>
      </c>
    </row>
    <row r="20" spans="1:12" ht="18">
      <c r="A20" s="2" t="s">
        <v>79</v>
      </c>
      <c r="B20" s="2" t="s">
        <v>84</v>
      </c>
      <c r="C20" s="2" t="s">
        <v>19</v>
      </c>
      <c r="D20" s="2" t="s">
        <v>85</v>
      </c>
      <c r="E20" s="2" t="s">
        <v>82</v>
      </c>
      <c r="F20" s="2">
        <v>0</v>
      </c>
      <c r="G20" s="2">
        <v>0</v>
      </c>
      <c r="H20" s="2">
        <v>0</v>
      </c>
      <c r="I20" s="2">
        <v>0</v>
      </c>
      <c r="J20" s="2">
        <v>-1</v>
      </c>
      <c r="K20" s="2">
        <v>1</v>
      </c>
      <c r="L20" s="2" t="s">
        <v>86</v>
      </c>
    </row>
    <row r="21" spans="1:12" ht="18">
      <c r="A21" s="2" t="s">
        <v>79</v>
      </c>
      <c r="B21" s="2" t="s">
        <v>87</v>
      </c>
      <c r="C21" s="2" t="s">
        <v>23</v>
      </c>
      <c r="D21" s="2" t="s">
        <v>88</v>
      </c>
      <c r="E21" s="2" t="s">
        <v>82</v>
      </c>
      <c r="F21" s="2">
        <v>0</v>
      </c>
      <c r="G21" s="2">
        <v>1</v>
      </c>
      <c r="H21" s="2">
        <v>0</v>
      </c>
      <c r="I21" s="2">
        <v>0</v>
      </c>
      <c r="J21" s="2">
        <v>1</v>
      </c>
      <c r="K21" s="2">
        <v>-1</v>
      </c>
      <c r="L21" s="2" t="s">
        <v>89</v>
      </c>
    </row>
    <row r="22" spans="1:12" ht="18">
      <c r="A22" s="2" t="s">
        <v>90</v>
      </c>
      <c r="B22" s="2" t="s">
        <v>91</v>
      </c>
      <c r="C22" s="2" t="s">
        <v>14</v>
      </c>
      <c r="D22" s="2" t="s">
        <v>92</v>
      </c>
      <c r="E22" s="2" t="s">
        <v>93</v>
      </c>
      <c r="F22" s="2">
        <v>1</v>
      </c>
      <c r="G22" s="2">
        <v>-1</v>
      </c>
      <c r="H22" s="2">
        <v>0</v>
      </c>
      <c r="I22" s="2">
        <v>0</v>
      </c>
      <c r="J22" s="2">
        <v>2</v>
      </c>
      <c r="K22" s="2">
        <v>0</v>
      </c>
      <c r="L22" s="2" t="s">
        <v>94</v>
      </c>
    </row>
    <row r="23" spans="1:12" ht="18">
      <c r="A23" s="2" t="s">
        <v>90</v>
      </c>
      <c r="B23" s="2" t="s">
        <v>95</v>
      </c>
      <c r="C23" s="2" t="s">
        <v>19</v>
      </c>
      <c r="D23" s="2" t="s">
        <v>96</v>
      </c>
      <c r="E23" s="2" t="s">
        <v>93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 t="s">
        <v>97</v>
      </c>
    </row>
    <row r="24" spans="1:12" ht="18">
      <c r="A24" s="2" t="s">
        <v>90</v>
      </c>
      <c r="B24" s="2" t="s">
        <v>98</v>
      </c>
      <c r="C24" s="2" t="s">
        <v>23</v>
      </c>
      <c r="D24" s="2" t="s">
        <v>99</v>
      </c>
      <c r="E24" s="2" t="s">
        <v>93</v>
      </c>
      <c r="F24" s="2">
        <v>0</v>
      </c>
      <c r="G24" s="2">
        <v>2</v>
      </c>
      <c r="H24" s="2">
        <v>0</v>
      </c>
      <c r="I24" s="2">
        <v>0</v>
      </c>
      <c r="J24" s="2">
        <v>1</v>
      </c>
      <c r="K24" s="2">
        <v>0</v>
      </c>
      <c r="L24" s="2" t="s">
        <v>100</v>
      </c>
    </row>
    <row r="25" spans="1:12" ht="18">
      <c r="A25" s="2" t="s">
        <v>101</v>
      </c>
      <c r="B25" s="2" t="s">
        <v>102</v>
      </c>
      <c r="C25" s="2" t="s">
        <v>14</v>
      </c>
      <c r="D25" s="2" t="s">
        <v>103</v>
      </c>
      <c r="E25" s="2" t="s">
        <v>104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 t="s">
        <v>105</v>
      </c>
    </row>
    <row r="26" spans="1:12" ht="18">
      <c r="A26" s="2" t="s">
        <v>101</v>
      </c>
      <c r="B26" s="2" t="s">
        <v>106</v>
      </c>
      <c r="C26" s="2" t="s">
        <v>19</v>
      </c>
      <c r="D26" s="2" t="s">
        <v>107</v>
      </c>
      <c r="E26" s="2" t="s">
        <v>104</v>
      </c>
      <c r="F26" s="2">
        <v>-2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 t="s">
        <v>108</v>
      </c>
    </row>
    <row r="27" spans="1:12" ht="18">
      <c r="A27" s="2" t="s">
        <v>101</v>
      </c>
      <c r="B27" s="2" t="s">
        <v>109</v>
      </c>
      <c r="C27" s="2" t="s">
        <v>23</v>
      </c>
      <c r="D27" s="2" t="s">
        <v>110</v>
      </c>
      <c r="E27" s="2" t="s">
        <v>104</v>
      </c>
      <c r="F27" s="2">
        <v>0</v>
      </c>
      <c r="G27" s="2">
        <v>2</v>
      </c>
      <c r="H27" s="2">
        <v>0</v>
      </c>
      <c r="I27" s="2">
        <v>0</v>
      </c>
      <c r="J27" s="2">
        <v>-1</v>
      </c>
      <c r="K27" s="2">
        <v>0</v>
      </c>
      <c r="L27" s="2" t="s">
        <v>111</v>
      </c>
    </row>
    <row r="28" spans="1:12" ht="18">
      <c r="A28" s="2" t="s">
        <v>112</v>
      </c>
      <c r="B28" s="2" t="s">
        <v>113</v>
      </c>
      <c r="C28" s="2" t="s">
        <v>14</v>
      </c>
      <c r="D28" s="2" t="s">
        <v>114</v>
      </c>
      <c r="E28" s="2" t="s">
        <v>115</v>
      </c>
      <c r="F28" s="2">
        <v>-1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 t="s">
        <v>116</v>
      </c>
    </row>
    <row r="29" spans="1:12" ht="18">
      <c r="A29" s="2" t="s">
        <v>112</v>
      </c>
      <c r="B29" s="2" t="s">
        <v>117</v>
      </c>
      <c r="C29" s="2" t="s">
        <v>19</v>
      </c>
      <c r="D29" s="2" t="s">
        <v>118</v>
      </c>
      <c r="E29" s="2" t="s">
        <v>115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 t="s">
        <v>119</v>
      </c>
    </row>
    <row r="30" spans="1:12" ht="18">
      <c r="A30" s="2" t="s">
        <v>112</v>
      </c>
      <c r="B30" s="2" t="s">
        <v>120</v>
      </c>
      <c r="C30" s="2" t="s">
        <v>23</v>
      </c>
      <c r="D30" s="2" t="s">
        <v>121</v>
      </c>
      <c r="E30" s="2" t="s">
        <v>115</v>
      </c>
      <c r="F30" s="2">
        <v>-2</v>
      </c>
      <c r="G30" s="2">
        <v>0</v>
      </c>
      <c r="H30" s="2">
        <v>0</v>
      </c>
      <c r="I30" s="2">
        <v>-1</v>
      </c>
      <c r="J30" s="2">
        <v>0</v>
      </c>
      <c r="K30" s="2">
        <v>0</v>
      </c>
      <c r="L30" s="2" t="s">
        <v>122</v>
      </c>
    </row>
    <row r="31" spans="1:12" ht="18">
      <c r="A31" s="2" t="s">
        <v>123</v>
      </c>
      <c r="B31" s="2" t="s">
        <v>124</v>
      </c>
      <c r="C31" s="2" t="s">
        <v>14</v>
      </c>
      <c r="D31" s="2" t="s">
        <v>125</v>
      </c>
      <c r="E31" s="2" t="s">
        <v>126</v>
      </c>
      <c r="F31" s="2">
        <v>0</v>
      </c>
      <c r="G31" s="2">
        <v>0</v>
      </c>
      <c r="H31" s="2">
        <v>0</v>
      </c>
      <c r="I31" s="2">
        <v>0</v>
      </c>
      <c r="J31" s="2">
        <v>2</v>
      </c>
      <c r="K31" s="2">
        <v>0</v>
      </c>
      <c r="L31" s="2" t="s">
        <v>127</v>
      </c>
    </row>
    <row r="32" spans="1:12" ht="18">
      <c r="A32" s="2" t="s">
        <v>123</v>
      </c>
      <c r="B32" s="2" t="s">
        <v>128</v>
      </c>
      <c r="C32" s="2" t="s">
        <v>19</v>
      </c>
      <c r="D32" s="2" t="s">
        <v>129</v>
      </c>
      <c r="E32" s="2" t="s">
        <v>126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 t="s">
        <v>130</v>
      </c>
    </row>
    <row r="33" spans="1:12" ht="18">
      <c r="A33" s="2" t="s">
        <v>123</v>
      </c>
      <c r="B33" s="2" t="s">
        <v>131</v>
      </c>
      <c r="C33" s="2" t="s">
        <v>23</v>
      </c>
      <c r="D33" s="2" t="s">
        <v>132</v>
      </c>
      <c r="E33" s="2" t="s">
        <v>126</v>
      </c>
      <c r="F33" s="2">
        <v>0</v>
      </c>
      <c r="G33" s="2">
        <v>0</v>
      </c>
      <c r="H33" s="2">
        <v>0</v>
      </c>
      <c r="I33" s="2">
        <v>0</v>
      </c>
      <c r="J33" s="2">
        <v>-2</v>
      </c>
      <c r="K33" s="2">
        <v>0</v>
      </c>
      <c r="L33" s="2" t="s">
        <v>133</v>
      </c>
    </row>
    <row r="34" spans="1:12" ht="18">
      <c r="A34" s="2" t="s">
        <v>134</v>
      </c>
      <c r="B34" s="2" t="s">
        <v>135</v>
      </c>
      <c r="C34" s="2" t="s">
        <v>14</v>
      </c>
      <c r="D34" s="2" t="s">
        <v>136</v>
      </c>
      <c r="E34" s="2" t="s">
        <v>137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-2</v>
      </c>
      <c r="L34" s="2" t="s">
        <v>138</v>
      </c>
    </row>
    <row r="35" spans="1:12" ht="18">
      <c r="A35" s="2" t="s">
        <v>134</v>
      </c>
      <c r="B35" s="2" t="s">
        <v>139</v>
      </c>
      <c r="C35" s="2" t="s">
        <v>19</v>
      </c>
      <c r="D35" s="2" t="s">
        <v>140</v>
      </c>
      <c r="E35" s="2" t="s">
        <v>137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2</v>
      </c>
      <c r="L35" s="2" t="s">
        <v>141</v>
      </c>
    </row>
    <row r="36" spans="1:12" ht="18">
      <c r="A36" s="2" t="s">
        <v>134</v>
      </c>
      <c r="B36" s="2" t="s">
        <v>142</v>
      </c>
      <c r="C36" s="2" t="s">
        <v>23</v>
      </c>
      <c r="D36" s="2" t="s">
        <v>143</v>
      </c>
      <c r="E36" s="2" t="s">
        <v>137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2" t="s">
        <v>144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workbookViewId="0">
      <pane ySplit="2" topLeftCell="A3" activePane="bottomLeft" state="frozen"/>
      <selection pane="bottomLeft" activeCell="D26" sqref="D26"/>
    </sheetView>
  </sheetViews>
  <sheetFormatPr baseColWidth="10" defaultColWidth="8.83203125" defaultRowHeight="17"/>
  <cols>
    <col min="1" max="1" width="10" customWidth="1"/>
    <col min="2" max="2" width="50" customWidth="1"/>
    <col min="3" max="3" width="16" customWidth="1"/>
    <col min="4" max="4" width="55" customWidth="1"/>
    <col min="5" max="10" width="7" customWidth="1"/>
  </cols>
  <sheetData>
    <row r="1" spans="1:10" ht="28" customHeight="1">
      <c r="A1" s="4" t="s">
        <v>164</v>
      </c>
      <c r="B1" s="5"/>
      <c r="C1" s="5"/>
      <c r="D1" s="5"/>
      <c r="E1" s="5"/>
      <c r="F1" s="5"/>
      <c r="G1" s="5"/>
      <c r="H1" s="5"/>
      <c r="I1" s="5"/>
      <c r="J1" s="5"/>
    </row>
    <row r="2" spans="1:10" ht="36">
      <c r="A2" s="1" t="s">
        <v>0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149</v>
      </c>
      <c r="G2" s="1" t="s">
        <v>150</v>
      </c>
      <c r="H2" s="1" t="s">
        <v>151</v>
      </c>
      <c r="I2" s="1" t="s">
        <v>152</v>
      </c>
      <c r="J2" s="1" t="s">
        <v>19</v>
      </c>
    </row>
    <row r="3" spans="1:10" ht="18">
      <c r="A3" s="2" t="s">
        <v>12</v>
      </c>
      <c r="B3" s="2" t="s">
        <v>16</v>
      </c>
      <c r="C3" s="2" t="s">
        <v>14</v>
      </c>
      <c r="D3" s="2" t="str">
        <f>IF($C3="","",IFERROR(INDEX(Weights!$D:$D, MATCH($A3&amp;"|"&amp;$C3, Weights!$B:$B, 0)),""))</f>
        <v>이번엔 회복/휴식이 1순위다!</v>
      </c>
      <c r="E3" s="2">
        <f>IF($C3="","",IFERROR(INDEX(Weights!$F:$F, MATCH($A3&amp;"|"&amp;$C3, Weights!$B:$B, 0)),0))</f>
        <v>-2</v>
      </c>
      <c r="F3" s="2">
        <f>IF($C3="","",IFERROR(INDEX(Weights!$G:$G, MATCH($A3&amp;"|"&amp;$C3, Weights!$B:$B, 0)),0))</f>
        <v>0</v>
      </c>
      <c r="G3" s="2">
        <f>IF($C3="","",IFERROR(INDEX(Weights!$H:$H, MATCH($A3&amp;"|"&amp;$C3, Weights!$B:$B, 0)),0))</f>
        <v>0</v>
      </c>
      <c r="H3" s="2">
        <f>IF($C3="","",IFERROR(INDEX(Weights!$I:$I, MATCH($A3&amp;"|"&amp;$C3, Weights!$B:$B, 0)),0))</f>
        <v>-1</v>
      </c>
      <c r="I3" s="2">
        <f>IF($C3="","",IFERROR(INDEX(Weights!$J:$J, MATCH($A3&amp;"|"&amp;$C3, Weights!$B:$B, 0)),0))</f>
        <v>-1</v>
      </c>
      <c r="J3" s="2">
        <f>IF($C3="","",IFERROR(INDEX(Weights!$K:$K, MATCH($A3&amp;"|"&amp;$C3, Weights!$B:$B, 0)),0))</f>
        <v>0</v>
      </c>
    </row>
    <row r="4" spans="1:10" ht="18">
      <c r="A4" s="2" t="s">
        <v>30</v>
      </c>
      <c r="B4" s="2" t="s">
        <v>33</v>
      </c>
      <c r="C4" s="2"/>
      <c r="D4" s="2" t="str">
        <f>IF($C4="","",IFERROR(INDEX(Weights!$D:$D, MATCH($A4&amp;"|"&amp;$C4, Weights!$B:$B, 0)),""))</f>
        <v/>
      </c>
      <c r="E4" s="2" t="str">
        <f>IF($C4="","",IFERROR(INDEX(Weights!$F:$F, MATCH($A4&amp;"|"&amp;$C4, Weights!$B:$B, 0)),0))</f>
        <v/>
      </c>
      <c r="F4" s="2" t="str">
        <f>IF($C4="","",IFERROR(INDEX(Weights!$G:$G, MATCH($A4&amp;"|"&amp;$C4, Weights!$B:$B, 0)),0))</f>
        <v/>
      </c>
      <c r="G4" s="2" t="str">
        <f>IF($C4="","",IFERROR(INDEX(Weights!$H:$H, MATCH($A4&amp;"|"&amp;$C4, Weights!$B:$B, 0)),0))</f>
        <v/>
      </c>
      <c r="H4" s="2" t="str">
        <f>IF($C4="","",IFERROR(INDEX(Weights!$I:$I, MATCH($A4&amp;"|"&amp;$C4, Weights!$B:$B, 0)),0))</f>
        <v/>
      </c>
      <c r="I4" s="2" t="str">
        <f>IF($C4="","",IFERROR(INDEX(Weights!$J:$J, MATCH($A4&amp;"|"&amp;$C4, Weights!$B:$B, 0)),0))</f>
        <v/>
      </c>
      <c r="J4" s="2" t="str">
        <f>IF($C4="","",IFERROR(INDEX(Weights!$K:$K, MATCH($A4&amp;"|"&amp;$C4, Weights!$B:$B, 0)),0))</f>
        <v/>
      </c>
    </row>
    <row r="5" spans="1:10" ht="18">
      <c r="A5" s="2" t="s">
        <v>41</v>
      </c>
      <c r="B5" s="2" t="s">
        <v>44</v>
      </c>
      <c r="C5" s="2"/>
      <c r="D5" s="2" t="str">
        <f>IF($C5="","",IFERROR(INDEX(Weights!$D:$D, MATCH($A5&amp;"|"&amp;$C5, Weights!$B:$B, 0)),""))</f>
        <v/>
      </c>
      <c r="E5" s="2" t="str">
        <f>IF($C5="","",IFERROR(INDEX(Weights!$F:$F, MATCH($A5&amp;"|"&amp;$C5, Weights!$B:$B, 0)),0))</f>
        <v/>
      </c>
      <c r="F5" s="2" t="str">
        <f>IF($C5="","",IFERROR(INDEX(Weights!$G:$G, MATCH($A5&amp;"|"&amp;$C5, Weights!$B:$B, 0)),0))</f>
        <v/>
      </c>
      <c r="G5" s="2" t="str">
        <f>IF($C5="","",IFERROR(INDEX(Weights!$H:$H, MATCH($A5&amp;"|"&amp;$C5, Weights!$B:$B, 0)),0))</f>
        <v/>
      </c>
      <c r="H5" s="2" t="str">
        <f>IF($C5="","",IFERROR(INDEX(Weights!$I:$I, MATCH($A5&amp;"|"&amp;$C5, Weights!$B:$B, 0)),0))</f>
        <v/>
      </c>
      <c r="I5" s="2" t="str">
        <f>IF($C5="","",IFERROR(INDEX(Weights!$J:$J, MATCH($A5&amp;"|"&amp;$C5, Weights!$B:$B, 0)),0))</f>
        <v/>
      </c>
      <c r="J5" s="2" t="str">
        <f>IF($C5="","",IFERROR(INDEX(Weights!$K:$K, MATCH($A5&amp;"|"&amp;$C5, Weights!$B:$B, 0)),0))</f>
        <v/>
      </c>
    </row>
    <row r="6" spans="1:10" ht="18">
      <c r="A6" s="2" t="s">
        <v>52</v>
      </c>
      <c r="B6" s="2" t="s">
        <v>55</v>
      </c>
      <c r="C6" s="2"/>
      <c r="D6" s="2" t="str">
        <f>IF($C6="","",IFERROR(INDEX(Weights!$D:$D, MATCH($A6&amp;"|"&amp;$C6, Weights!$B:$B, 0)),""))</f>
        <v/>
      </c>
      <c r="E6" s="2" t="str">
        <f>IF($C6="","",IFERROR(INDEX(Weights!$F:$F, MATCH($A6&amp;"|"&amp;$C6, Weights!$B:$B, 0)),0))</f>
        <v/>
      </c>
      <c r="F6" s="2" t="str">
        <f>IF($C6="","",IFERROR(INDEX(Weights!$G:$G, MATCH($A6&amp;"|"&amp;$C6, Weights!$B:$B, 0)),0))</f>
        <v/>
      </c>
      <c r="G6" s="2" t="str">
        <f>IF($C6="","",IFERROR(INDEX(Weights!$H:$H, MATCH($A6&amp;"|"&amp;$C6, Weights!$B:$B, 0)),0))</f>
        <v/>
      </c>
      <c r="H6" s="2" t="str">
        <f>IF($C6="","",IFERROR(INDEX(Weights!$I:$I, MATCH($A6&amp;"|"&amp;$C6, Weights!$B:$B, 0)),0))</f>
        <v/>
      </c>
      <c r="I6" s="2" t="str">
        <f>IF($C6="","",IFERROR(INDEX(Weights!$J:$J, MATCH($A6&amp;"|"&amp;$C6, Weights!$B:$B, 0)),0))</f>
        <v/>
      </c>
      <c r="J6" s="2" t="str">
        <f>IF($C6="","",IFERROR(INDEX(Weights!$K:$K, MATCH($A6&amp;"|"&amp;$C6, Weights!$B:$B, 0)),0))</f>
        <v/>
      </c>
    </row>
    <row r="7" spans="1:10" ht="18">
      <c r="A7" s="2" t="s">
        <v>63</v>
      </c>
      <c r="B7" s="2" t="s">
        <v>66</v>
      </c>
      <c r="C7" s="2"/>
      <c r="D7" s="2" t="str">
        <f>IF($C7="","",IFERROR(INDEX(Weights!$D:$D, MATCH($A7&amp;"|"&amp;$C7, Weights!$B:$B, 0)),""))</f>
        <v/>
      </c>
      <c r="E7" s="2" t="str">
        <f>IF($C7="","",IFERROR(INDEX(Weights!$F:$F, MATCH($A7&amp;"|"&amp;$C7, Weights!$B:$B, 0)),0))</f>
        <v/>
      </c>
      <c r="F7" s="2" t="str">
        <f>IF($C7="","",IFERROR(INDEX(Weights!$G:$G, MATCH($A7&amp;"|"&amp;$C7, Weights!$B:$B, 0)),0))</f>
        <v/>
      </c>
      <c r="G7" s="2" t="str">
        <f>IF($C7="","",IFERROR(INDEX(Weights!$H:$H, MATCH($A7&amp;"|"&amp;$C7, Weights!$B:$B, 0)),0))</f>
        <v/>
      </c>
      <c r="H7" s="2" t="str">
        <f>IF($C7="","",IFERROR(INDEX(Weights!$I:$I, MATCH($A7&amp;"|"&amp;$C7, Weights!$B:$B, 0)),0))</f>
        <v/>
      </c>
      <c r="I7" s="2" t="str">
        <f>IF($C7="","",IFERROR(INDEX(Weights!$J:$J, MATCH($A7&amp;"|"&amp;$C7, Weights!$B:$B, 0)),0))</f>
        <v/>
      </c>
      <c r="J7" s="2" t="str">
        <f>IF($C7="","",IFERROR(INDEX(Weights!$K:$K, MATCH($A7&amp;"|"&amp;$C7, Weights!$B:$B, 0)),0))</f>
        <v/>
      </c>
    </row>
    <row r="8" spans="1:10" ht="18">
      <c r="A8" s="2" t="s">
        <v>71</v>
      </c>
      <c r="B8" s="2" t="s">
        <v>74</v>
      </c>
      <c r="C8" s="2"/>
      <c r="D8" s="2" t="str">
        <f>IF($C8="","",IFERROR(INDEX(Weights!$D:$D, MATCH($A8&amp;"|"&amp;$C8, Weights!$B:$B, 0)),""))</f>
        <v/>
      </c>
      <c r="E8" s="2" t="str">
        <f>IF($C8="","",IFERROR(INDEX(Weights!$F:$F, MATCH($A8&amp;"|"&amp;$C8, Weights!$B:$B, 0)),0))</f>
        <v/>
      </c>
      <c r="F8" s="2" t="str">
        <f>IF($C8="","",IFERROR(INDEX(Weights!$G:$G, MATCH($A8&amp;"|"&amp;$C8, Weights!$B:$B, 0)),0))</f>
        <v/>
      </c>
      <c r="G8" s="2" t="str">
        <f>IF($C8="","",IFERROR(INDEX(Weights!$H:$H, MATCH($A8&amp;"|"&amp;$C8, Weights!$B:$B, 0)),0))</f>
        <v/>
      </c>
      <c r="H8" s="2" t="str">
        <f>IF($C8="","",IFERROR(INDEX(Weights!$I:$I, MATCH($A8&amp;"|"&amp;$C8, Weights!$B:$B, 0)),0))</f>
        <v/>
      </c>
      <c r="I8" s="2" t="str">
        <f>IF($C8="","",IFERROR(INDEX(Weights!$J:$J, MATCH($A8&amp;"|"&amp;$C8, Weights!$B:$B, 0)),0))</f>
        <v/>
      </c>
      <c r="J8" s="2" t="str">
        <f>IF($C8="","",IFERROR(INDEX(Weights!$K:$K, MATCH($A8&amp;"|"&amp;$C8, Weights!$B:$B, 0)),0))</f>
        <v/>
      </c>
    </row>
    <row r="9" spans="1:10" ht="18">
      <c r="A9" s="2" t="s">
        <v>79</v>
      </c>
      <c r="B9" s="2" t="s">
        <v>82</v>
      </c>
      <c r="C9" s="2"/>
      <c r="D9" s="2" t="str">
        <f>IF($C9="","",IFERROR(INDEX(Weights!$D:$D, MATCH($A9&amp;"|"&amp;$C9, Weights!$B:$B, 0)),""))</f>
        <v/>
      </c>
      <c r="E9" s="2" t="str">
        <f>IF($C9="","",IFERROR(INDEX(Weights!$F:$F, MATCH($A9&amp;"|"&amp;$C9, Weights!$B:$B, 0)),0))</f>
        <v/>
      </c>
      <c r="F9" s="2" t="str">
        <f>IF($C9="","",IFERROR(INDEX(Weights!$G:$G, MATCH($A9&amp;"|"&amp;$C9, Weights!$B:$B, 0)),0))</f>
        <v/>
      </c>
      <c r="G9" s="2" t="str">
        <f>IF($C9="","",IFERROR(INDEX(Weights!$H:$H, MATCH($A9&amp;"|"&amp;$C9, Weights!$B:$B, 0)),0))</f>
        <v/>
      </c>
      <c r="H9" s="2" t="str">
        <f>IF($C9="","",IFERROR(INDEX(Weights!$I:$I, MATCH($A9&amp;"|"&amp;$C9, Weights!$B:$B, 0)),0))</f>
        <v/>
      </c>
      <c r="I9" s="2" t="str">
        <f>IF($C9="","",IFERROR(INDEX(Weights!$J:$J, MATCH($A9&amp;"|"&amp;$C9, Weights!$B:$B, 0)),0))</f>
        <v/>
      </c>
      <c r="J9" s="2" t="str">
        <f>IF($C9="","",IFERROR(INDEX(Weights!$K:$K, MATCH($A9&amp;"|"&amp;$C9, Weights!$B:$B, 0)),0))</f>
        <v/>
      </c>
    </row>
    <row r="10" spans="1:10" ht="18">
      <c r="A10" s="2" t="s">
        <v>90</v>
      </c>
      <c r="B10" s="2" t="s">
        <v>93</v>
      </c>
      <c r="C10" s="2"/>
      <c r="D10" s="2" t="str">
        <f>IF($C10="","",IFERROR(INDEX(Weights!$D:$D, MATCH($A10&amp;"|"&amp;$C10, Weights!$B:$B, 0)),""))</f>
        <v/>
      </c>
      <c r="E10" s="2" t="str">
        <f>IF($C10="","",IFERROR(INDEX(Weights!$F:$F, MATCH($A10&amp;"|"&amp;$C10, Weights!$B:$B, 0)),0))</f>
        <v/>
      </c>
      <c r="F10" s="2" t="str">
        <f>IF($C10="","",IFERROR(INDEX(Weights!$G:$G, MATCH($A10&amp;"|"&amp;$C10, Weights!$B:$B, 0)),0))</f>
        <v/>
      </c>
      <c r="G10" s="2" t="str">
        <f>IF($C10="","",IFERROR(INDEX(Weights!$H:$H, MATCH($A10&amp;"|"&amp;$C10, Weights!$B:$B, 0)),0))</f>
        <v/>
      </c>
      <c r="H10" s="2" t="str">
        <f>IF($C10="","",IFERROR(INDEX(Weights!$I:$I, MATCH($A10&amp;"|"&amp;$C10, Weights!$B:$B, 0)),0))</f>
        <v/>
      </c>
      <c r="I10" s="2" t="str">
        <f>IF($C10="","",IFERROR(INDEX(Weights!$J:$J, MATCH($A10&amp;"|"&amp;$C10, Weights!$B:$B, 0)),0))</f>
        <v/>
      </c>
      <c r="J10" s="2" t="str">
        <f>IF($C10="","",IFERROR(INDEX(Weights!$K:$K, MATCH($A10&amp;"|"&amp;$C10, Weights!$B:$B, 0)),0))</f>
        <v/>
      </c>
    </row>
    <row r="11" spans="1:10" ht="18">
      <c r="A11" s="2" t="s">
        <v>101</v>
      </c>
      <c r="B11" s="2" t="s">
        <v>104</v>
      </c>
      <c r="C11" s="2"/>
      <c r="D11" s="2" t="str">
        <f>IF($C11="","",IFERROR(INDEX(Weights!$D:$D, MATCH($A11&amp;"|"&amp;$C11, Weights!$B:$B, 0)),""))</f>
        <v/>
      </c>
      <c r="E11" s="2" t="str">
        <f>IF($C11="","",IFERROR(INDEX(Weights!$F:$F, MATCH($A11&amp;"|"&amp;$C11, Weights!$B:$B, 0)),0))</f>
        <v/>
      </c>
      <c r="F11" s="2" t="str">
        <f>IF($C11="","",IFERROR(INDEX(Weights!$G:$G, MATCH($A11&amp;"|"&amp;$C11, Weights!$B:$B, 0)),0))</f>
        <v/>
      </c>
      <c r="G11" s="2" t="str">
        <f>IF($C11="","",IFERROR(INDEX(Weights!$H:$H, MATCH($A11&amp;"|"&amp;$C11, Weights!$B:$B, 0)),0))</f>
        <v/>
      </c>
      <c r="H11" s="2" t="str">
        <f>IF($C11="","",IFERROR(INDEX(Weights!$I:$I, MATCH($A11&amp;"|"&amp;$C11, Weights!$B:$B, 0)),0))</f>
        <v/>
      </c>
      <c r="I11" s="2" t="str">
        <f>IF($C11="","",IFERROR(INDEX(Weights!$J:$J, MATCH($A11&amp;"|"&amp;$C11, Weights!$B:$B, 0)),0))</f>
        <v/>
      </c>
      <c r="J11" s="2" t="str">
        <f>IF($C11="","",IFERROR(INDEX(Weights!$K:$K, MATCH($A11&amp;"|"&amp;$C11, Weights!$B:$B, 0)),0))</f>
        <v/>
      </c>
    </row>
    <row r="12" spans="1:10" ht="18">
      <c r="A12" s="2" t="s">
        <v>112</v>
      </c>
      <c r="B12" s="2" t="s">
        <v>115</v>
      </c>
      <c r="C12" s="2"/>
      <c r="D12" s="2" t="str">
        <f>IF($C12="","",IFERROR(INDEX(Weights!$D:$D, MATCH($A12&amp;"|"&amp;$C12, Weights!$B:$B, 0)),""))</f>
        <v/>
      </c>
      <c r="E12" s="2" t="str">
        <f>IF($C12="","",IFERROR(INDEX(Weights!$F:$F, MATCH($A12&amp;"|"&amp;$C12, Weights!$B:$B, 0)),0))</f>
        <v/>
      </c>
      <c r="F12" s="2" t="str">
        <f>IF($C12="","",IFERROR(INDEX(Weights!$G:$G, MATCH($A12&amp;"|"&amp;$C12, Weights!$B:$B, 0)),0))</f>
        <v/>
      </c>
      <c r="G12" s="2" t="str">
        <f>IF($C12="","",IFERROR(INDEX(Weights!$H:$H, MATCH($A12&amp;"|"&amp;$C12, Weights!$B:$B, 0)),0))</f>
        <v/>
      </c>
      <c r="H12" s="2" t="str">
        <f>IF($C12="","",IFERROR(INDEX(Weights!$I:$I, MATCH($A12&amp;"|"&amp;$C12, Weights!$B:$B, 0)),0))</f>
        <v/>
      </c>
      <c r="I12" s="2" t="str">
        <f>IF($C12="","",IFERROR(INDEX(Weights!$J:$J, MATCH($A12&amp;"|"&amp;$C12, Weights!$B:$B, 0)),0))</f>
        <v/>
      </c>
      <c r="J12" s="2" t="str">
        <f>IF($C12="","",IFERROR(INDEX(Weights!$K:$K, MATCH($A12&amp;"|"&amp;$C12, Weights!$B:$B, 0)),0))</f>
        <v/>
      </c>
    </row>
    <row r="13" spans="1:10" ht="18">
      <c r="A13" s="2" t="s">
        <v>123</v>
      </c>
      <c r="B13" s="2" t="s">
        <v>126</v>
      </c>
      <c r="C13" s="2"/>
      <c r="D13" s="2" t="str">
        <f>IF($C13="","",IFERROR(INDEX(Weights!$D:$D, MATCH($A13&amp;"|"&amp;$C13, Weights!$B:$B, 0)),""))</f>
        <v/>
      </c>
      <c r="E13" s="2" t="str">
        <f>IF($C13="","",IFERROR(INDEX(Weights!$F:$F, MATCH($A13&amp;"|"&amp;$C13, Weights!$B:$B, 0)),0))</f>
        <v/>
      </c>
      <c r="F13" s="2" t="str">
        <f>IF($C13="","",IFERROR(INDEX(Weights!$G:$G, MATCH($A13&amp;"|"&amp;$C13, Weights!$B:$B, 0)),0))</f>
        <v/>
      </c>
      <c r="G13" s="2" t="str">
        <f>IF($C13="","",IFERROR(INDEX(Weights!$H:$H, MATCH($A13&amp;"|"&amp;$C13, Weights!$B:$B, 0)),0))</f>
        <v/>
      </c>
      <c r="H13" s="2" t="str">
        <f>IF($C13="","",IFERROR(INDEX(Weights!$I:$I, MATCH($A13&amp;"|"&amp;$C13, Weights!$B:$B, 0)),0))</f>
        <v/>
      </c>
      <c r="I13" s="2" t="str">
        <f>IF($C13="","",IFERROR(INDEX(Weights!$J:$J, MATCH($A13&amp;"|"&amp;$C13, Weights!$B:$B, 0)),0))</f>
        <v/>
      </c>
      <c r="J13" s="2" t="str">
        <f>IF($C13="","",IFERROR(INDEX(Weights!$K:$K, MATCH($A13&amp;"|"&amp;$C13, Weights!$B:$B, 0)),0))</f>
        <v/>
      </c>
    </row>
    <row r="14" spans="1:10" ht="18">
      <c r="A14" s="2" t="s">
        <v>134</v>
      </c>
      <c r="B14" s="2" t="s">
        <v>137</v>
      </c>
      <c r="C14" s="2"/>
      <c r="D14" s="2" t="str">
        <f>IF($C14="","",IFERROR(INDEX(Weights!$D:$D, MATCH($A14&amp;"|"&amp;$C14, Weights!$B:$B, 0)),""))</f>
        <v/>
      </c>
      <c r="E14" s="2" t="str">
        <f>IF($C14="","",IFERROR(INDEX(Weights!$F:$F, MATCH($A14&amp;"|"&amp;$C14, Weights!$B:$B, 0)),0))</f>
        <v/>
      </c>
      <c r="F14" s="2" t="str">
        <f>IF($C14="","",IFERROR(INDEX(Weights!$G:$G, MATCH($A14&amp;"|"&amp;$C14, Weights!$B:$B, 0)),0))</f>
        <v/>
      </c>
      <c r="G14" s="2" t="str">
        <f>IF($C14="","",IFERROR(INDEX(Weights!$H:$H, MATCH($A14&amp;"|"&amp;$C14, Weights!$B:$B, 0)),0))</f>
        <v/>
      </c>
      <c r="H14" s="2" t="str">
        <f>IF($C14="","",IFERROR(INDEX(Weights!$I:$I, MATCH($A14&amp;"|"&amp;$C14, Weights!$B:$B, 0)),0))</f>
        <v/>
      </c>
      <c r="I14" s="2" t="str">
        <f>IF($C14="","",IFERROR(INDEX(Weights!$J:$J, MATCH($A14&amp;"|"&amp;$C14, Weights!$B:$B, 0)),0))</f>
        <v/>
      </c>
      <c r="J14" s="2" t="str">
        <f>IF($C14="","",IFERROR(INDEX(Weights!$K:$K, MATCH($A14&amp;"|"&amp;$C14, Weights!$B:$B, 0)),0))</f>
        <v/>
      </c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36">
      <c r="A16" s="3" t="s">
        <v>153</v>
      </c>
      <c r="B16" s="2"/>
      <c r="C16" s="2"/>
      <c r="D16" s="2"/>
      <c r="E16" s="2">
        <f t="shared" ref="E16:J16" si="0">SUM(E3:E14)</f>
        <v>-2</v>
      </c>
      <c r="F16" s="2">
        <f t="shared" si="0"/>
        <v>0</v>
      </c>
      <c r="G16" s="2">
        <f t="shared" si="0"/>
        <v>0</v>
      </c>
      <c r="H16" s="2">
        <f t="shared" si="0"/>
        <v>-1</v>
      </c>
      <c r="I16" s="2">
        <f t="shared" si="0"/>
        <v>-1</v>
      </c>
      <c r="J16" s="2">
        <f t="shared" si="0"/>
        <v>0</v>
      </c>
    </row>
    <row r="17" spans="1:10" ht="36">
      <c r="A17" s="3" t="s">
        <v>154</v>
      </c>
      <c r="B17" s="2"/>
      <c r="C17" s="2"/>
      <c r="D17" s="2"/>
      <c r="E17" s="2">
        <f>MAX(-3,MIN(3, 3*E16/VLOOKUP("E",Scoring!$A$2:$B$7,2,FALSE)))</f>
        <v>-0.6</v>
      </c>
      <c r="F17" s="2">
        <f>MAX(-3,MIN(3, 3*F16/VLOOKUP("P",Scoring!$A$2:$B$7,2,FALSE)))</f>
        <v>0</v>
      </c>
      <c r="G17" s="2">
        <f>MAX(-3,MIN(3, 3*G16/VLOOKUP("T",Scoring!$A$2:$B$7,2,FALSE)))</f>
        <v>0</v>
      </c>
      <c r="H17" s="2">
        <f>MAX(-3,MIN(3, 3*H16/VLOOKUP("S",Scoring!$A$2:$B$7,2,FALSE)))</f>
        <v>-0.42857142857142855</v>
      </c>
      <c r="I17" s="2">
        <f>MAX(-3,MIN(3, 3*I16/VLOOKUP("X",Scoring!$A$2:$B$7,2,FALSE)))</f>
        <v>-0.23076923076923078</v>
      </c>
      <c r="J17" s="2">
        <f>MAX(-3,MIN(3, 3*J16/VLOOKUP("B",Scoring!$A$2:$B$7,2,FALSE)))</f>
        <v>0</v>
      </c>
    </row>
  </sheetData>
  <mergeCells count="1">
    <mergeCell ref="A1:J1"/>
  </mergeCells>
  <phoneticPr fontId="4" type="noConversion"/>
  <dataValidations count="3">
    <dataValidation type="list" allowBlank="1" sqref="C3" xr:uid="{00000000-0002-0000-0100-000000000000}">
      <formula1>"A,B,C,D"</formula1>
    </dataValidation>
    <dataValidation type="list" allowBlank="1" sqref="C9:C14 C4:C6" xr:uid="{00000000-0002-0000-0100-000001000000}">
      <formula1>"A,B,C"</formula1>
    </dataValidation>
    <dataValidation type="list" allowBlank="1" sqref="C7:C8" xr:uid="{00000000-0002-0000-0100-000004000000}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" customWidth="1"/>
    <col min="2" max="2" width="10" customWidth="1"/>
    <col min="3" max="3" width="70" customWidth="1"/>
  </cols>
  <sheetData>
    <row r="1" spans="1:3" ht="18">
      <c r="A1" s="1" t="s">
        <v>155</v>
      </c>
      <c r="B1" s="1" t="s">
        <v>156</v>
      </c>
      <c r="C1" s="1" t="s">
        <v>157</v>
      </c>
    </row>
    <row r="2" spans="1:3" ht="18">
      <c r="A2" s="2" t="s">
        <v>148</v>
      </c>
      <c r="B2" s="2">
        <v>10</v>
      </c>
      <c r="C2" s="2" t="s">
        <v>158</v>
      </c>
    </row>
    <row r="3" spans="1:3" ht="18">
      <c r="A3" s="2" t="s">
        <v>149</v>
      </c>
      <c r="B3" s="2">
        <v>12</v>
      </c>
      <c r="C3" s="2" t="s">
        <v>159</v>
      </c>
    </row>
    <row r="4" spans="1:3" ht="18">
      <c r="A4" s="2" t="s">
        <v>150</v>
      </c>
      <c r="B4" s="2">
        <v>5</v>
      </c>
      <c r="C4" s="2" t="s">
        <v>160</v>
      </c>
    </row>
    <row r="5" spans="1:3" ht="18">
      <c r="A5" s="2" t="s">
        <v>151</v>
      </c>
      <c r="B5" s="2">
        <v>7</v>
      </c>
      <c r="C5" s="2" t="s">
        <v>161</v>
      </c>
    </row>
    <row r="6" spans="1:3" ht="18">
      <c r="A6" s="2" t="s">
        <v>152</v>
      </c>
      <c r="B6" s="2">
        <v>13</v>
      </c>
      <c r="C6" s="2" t="s">
        <v>162</v>
      </c>
    </row>
    <row r="7" spans="1:3" ht="18">
      <c r="A7" s="2" t="s">
        <v>19</v>
      </c>
      <c r="B7" s="2">
        <v>5</v>
      </c>
      <c r="C7" s="2" t="s">
        <v>163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Weights</vt:lpstr>
      <vt:lpstr>Input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김동희</cp:lastModifiedBy>
  <dcterms:created xsi:type="dcterms:W3CDTF">2026-01-11T05:56:04Z</dcterms:created>
  <dcterms:modified xsi:type="dcterms:W3CDTF">2026-01-11T06:00:36Z</dcterms:modified>
</cp:coreProperties>
</file>